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 Sebastian\Documents\ANDES 2026-2\ESTRUCTURA DE DATOS Y ALGORIMOS\ESTRUCTURA DE DATOS Y ALGORITMOS\Laboratorio-4-G08\Docs\"/>
    </mc:Choice>
  </mc:AlternateContent>
  <xr:revisionPtr revIDLastSave="0" documentId="8_{D13AB1EF-F4F9-4719-8CE7-7F9FDF976143}" xr6:coauthVersionLast="47" xr6:coauthVersionMax="47" xr10:uidLastSave="{00000000-0000-0000-0000-000000000000}"/>
  <bookViews>
    <workbookView xWindow="-108" yWindow="-108" windowWidth="23256" windowHeight="12456" xr2:uid="{D82936D8-D2C9-4EB2-9CBC-3665F65B95FD}"/>
  </bookViews>
  <sheets>
    <sheet name="01-Data Lab 4" sheetId="1" r:id="rId1"/>
    <sheet name="02-Enqueue" sheetId="8" r:id="rId2"/>
    <sheet name="03-Dequeue" sheetId="14" r:id="rId3"/>
    <sheet name="04-Peek" sheetId="16" r:id="rId4"/>
    <sheet name="05-Push" sheetId="26" r:id="rId5"/>
    <sheet name="06-Pop" sheetId="21" r:id="rId6"/>
    <sheet name="07-Top" sheetId="2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4" i="1"/>
  <c r="B15" i="1"/>
  <c r="B6" i="1"/>
  <c r="B4" i="1"/>
  <c r="B3" i="1"/>
  <c r="B5" i="1"/>
  <c r="B7" i="1"/>
  <c r="B8" i="1"/>
  <c r="B9" i="1"/>
  <c r="B10" i="1"/>
  <c r="B16" i="1"/>
  <c r="B18" i="1"/>
  <c r="B19" i="1"/>
  <c r="B20" i="1"/>
  <c r="B21" i="1"/>
</calcChain>
</file>

<file path=xl/sharedStrings.xml><?xml version="1.0" encoding="utf-8"?>
<sst xmlns="http://schemas.openxmlformats.org/spreadsheetml/2006/main" count="20" uniqueCount="17">
  <si>
    <t>TIEMPOS PARA QUEUE [ms]</t>
  </si>
  <si>
    <t>TIEMPOS PARA STACK [ms]</t>
  </si>
  <si>
    <t>Porcentaje de la muestra [pct]</t>
  </si>
  <si>
    <t>Tamaño de la muestra (ARRAY_LIST)</t>
  </si>
  <si>
    <t xml:space="preserve">enqueue (Array List) </t>
  </si>
  <si>
    <t xml:space="preserve">dequeue (Array List) </t>
  </si>
  <si>
    <t xml:space="preserve">peek (Array List) </t>
  </si>
  <si>
    <t>push (Array List)</t>
  </si>
  <si>
    <t>pop (Array List)</t>
  </si>
  <si>
    <t xml:space="preserve">top(Array List) </t>
  </si>
  <si>
    <t>Tamaño de la muestra (LINKED_LIST)</t>
  </si>
  <si>
    <t xml:space="preserve">enqueue (Linked List) </t>
  </si>
  <si>
    <t xml:space="preserve">dequeue (Linked List)  </t>
  </si>
  <si>
    <t xml:space="preserve">peek (Linked List)  </t>
  </si>
  <si>
    <t xml:space="preserve">push (Linked List) </t>
  </si>
  <si>
    <t xml:space="preserve">pop (Linked List) </t>
  </si>
  <si>
    <t xml:space="preserve">top(Linked List)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</si>
</sst>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69E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69E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Queue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4'!$C$2</c:f>
              <c:strCache>
                <c:ptCount val="1"/>
                <c:pt idx="0">
                  <c:v>enqueue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4'!$C$3:$C$11</c:f>
              <c:numCache>
                <c:formatCode>General</c:formatCode>
                <c:ptCount val="9"/>
                <c:pt idx="0">
                  <c:v>7.3999999999999996E-2</c:v>
                </c:pt>
                <c:pt idx="1">
                  <c:v>0.25700000000000001</c:v>
                </c:pt>
                <c:pt idx="2">
                  <c:v>0.38300000000000001</c:v>
                </c:pt>
                <c:pt idx="3">
                  <c:v>1.2310000000000001</c:v>
                </c:pt>
                <c:pt idx="4">
                  <c:v>1.8129999999999999</c:v>
                </c:pt>
                <c:pt idx="5">
                  <c:v>2.633</c:v>
                </c:pt>
                <c:pt idx="6">
                  <c:v>3.7080000000000002</c:v>
                </c:pt>
                <c:pt idx="7">
                  <c:v>5.6790000000000003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4-4A09-BEFF-C643A08A798B}"/>
            </c:ext>
          </c:extLst>
        </c:ser>
        <c:ser>
          <c:idx val="1"/>
          <c:order val="1"/>
          <c:tx>
            <c:strRef>
              <c:f>'01-Data Lab 4'!$C$13</c:f>
              <c:strCache>
                <c:ptCount val="1"/>
                <c:pt idx="0">
                  <c:v>enqueue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4'!$C$14:$C$21</c:f>
              <c:numCache>
                <c:formatCode>General</c:formatCode>
                <c:ptCount val="8"/>
                <c:pt idx="0">
                  <c:v>9.1999999999999998E-2</c:v>
                </c:pt>
                <c:pt idx="1">
                  <c:v>0.495</c:v>
                </c:pt>
                <c:pt idx="2">
                  <c:v>0.84</c:v>
                </c:pt>
                <c:pt idx="3">
                  <c:v>2.4159999999999999</c:v>
                </c:pt>
                <c:pt idx="4">
                  <c:v>4.6769999999999996</c:v>
                </c:pt>
                <c:pt idx="5">
                  <c:v>5.0289999999999999</c:v>
                </c:pt>
                <c:pt idx="6">
                  <c:v>6.5439999999999996</c:v>
                </c:pt>
                <c:pt idx="7">
                  <c:v>5.8090000000000002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4-4A09-BEFF-C643A08A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4'!$D$2</c:f>
              <c:strCache>
                <c:ptCount val="1"/>
                <c:pt idx="0">
                  <c:v>dequeue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4'!$D$3:$D$11</c:f>
              <c:numCache>
                <c:formatCode>General</c:formatCode>
                <c:ptCount val="9"/>
                <c:pt idx="0">
                  <c:v>5.0999999999999997E-2</c:v>
                </c:pt>
                <c:pt idx="1">
                  <c:v>0.32800000000000001</c:v>
                </c:pt>
                <c:pt idx="2">
                  <c:v>0.373</c:v>
                </c:pt>
                <c:pt idx="3">
                  <c:v>9.6660000000000004</c:v>
                </c:pt>
                <c:pt idx="4">
                  <c:v>20.632000000000001</c:v>
                </c:pt>
                <c:pt idx="5">
                  <c:v>63.511000000000003</c:v>
                </c:pt>
                <c:pt idx="6">
                  <c:v>109.78700000000001</c:v>
                </c:pt>
                <c:pt idx="7">
                  <c:v>119.023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6-4C96-B542-B32CC3AB919F}"/>
            </c:ext>
          </c:extLst>
        </c:ser>
        <c:ser>
          <c:idx val="1"/>
          <c:order val="1"/>
          <c:tx>
            <c:strRef>
              <c:f>'01-Data Lab 4'!$D$13</c:f>
              <c:strCache>
                <c:ptCount val="1"/>
                <c:pt idx="0">
                  <c:v>dequeue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4'!$D$14:$D$21</c:f>
              <c:numCache>
                <c:formatCode>General</c:formatCode>
                <c:ptCount val="8"/>
                <c:pt idx="0">
                  <c:v>0.13900000000000001</c:v>
                </c:pt>
                <c:pt idx="1">
                  <c:v>0.38800000000000001</c:v>
                </c:pt>
                <c:pt idx="2">
                  <c:v>0.78500000000000003</c:v>
                </c:pt>
                <c:pt idx="3">
                  <c:v>1.7889999999999999</c:v>
                </c:pt>
                <c:pt idx="4">
                  <c:v>4.6269999999999998</c:v>
                </c:pt>
                <c:pt idx="5">
                  <c:v>3.843</c:v>
                </c:pt>
                <c:pt idx="6">
                  <c:v>5.95</c:v>
                </c:pt>
                <c:pt idx="7">
                  <c:v>5.4260000000000002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6-4C96-B542-B32CC3AB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4'!$E$2</c:f>
              <c:strCache>
                <c:ptCount val="1"/>
                <c:pt idx="0">
                  <c:v>peek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4'!$E$3:$E$11</c:f>
              <c:numCache>
                <c:formatCode>General</c:formatCode>
                <c:ptCount val="9"/>
                <c:pt idx="0">
                  <c:v>3.0000000000000001E-3</c:v>
                </c:pt>
                <c:pt idx="1">
                  <c:v>2E-3</c:v>
                </c:pt>
                <c:pt idx="2">
                  <c:v>1E-3</c:v>
                </c:pt>
                <c:pt idx="3">
                  <c:v>2E-3</c:v>
                </c:pt>
                <c:pt idx="4">
                  <c:v>2E-3</c:v>
                </c:pt>
                <c:pt idx="5">
                  <c:v>1E-3</c:v>
                </c:pt>
                <c:pt idx="6">
                  <c:v>1E-3</c:v>
                </c:pt>
                <c:pt idx="7">
                  <c:v>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18-42DB-B9B4-851B2422740E}"/>
            </c:ext>
          </c:extLst>
        </c:ser>
        <c:ser>
          <c:idx val="1"/>
          <c:order val="1"/>
          <c:tx>
            <c:strRef>
              <c:f>'01-Data Lab 4'!$E$13</c:f>
              <c:strCache>
                <c:ptCount val="1"/>
                <c:pt idx="0">
                  <c:v>peek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4'!$E$14:$E$21</c:f>
              <c:numCache>
                <c:formatCode>General</c:formatCode>
                <c:ptCount val="8"/>
                <c:pt idx="0">
                  <c:v>1.0999999999999999E-2</c:v>
                </c:pt>
                <c:pt idx="1">
                  <c:v>5.0000000000000001E-3</c:v>
                </c:pt>
                <c:pt idx="2">
                  <c:v>3.0000000000000001E-3</c:v>
                </c:pt>
                <c:pt idx="3">
                  <c:v>2E-3</c:v>
                </c:pt>
                <c:pt idx="4">
                  <c:v>4.0000000000000001E-3</c:v>
                </c:pt>
                <c:pt idx="5">
                  <c:v>3.0000000000000001E-3</c:v>
                </c:pt>
                <c:pt idx="6">
                  <c:v>5.0000000000000001E-3</c:v>
                </c:pt>
                <c:pt idx="7">
                  <c:v>3.0000000000000001E-3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18-42DB-B9B4-851B24227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4'!$F$2</c:f>
              <c:strCache>
                <c:ptCount val="1"/>
                <c:pt idx="0">
                  <c:v>push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4'!$F$3:$F$10</c:f>
              <c:numCache>
                <c:formatCode>General</c:formatCode>
                <c:ptCount val="8"/>
                <c:pt idx="0">
                  <c:v>7.4999999999999997E-2</c:v>
                </c:pt>
                <c:pt idx="1">
                  <c:v>0.35399999999999998</c:v>
                </c:pt>
                <c:pt idx="2">
                  <c:v>0.47399999999999998</c:v>
                </c:pt>
                <c:pt idx="3">
                  <c:v>1.5089999999999999</c:v>
                </c:pt>
                <c:pt idx="4">
                  <c:v>3.7949999999999999</c:v>
                </c:pt>
                <c:pt idx="5">
                  <c:v>2.21</c:v>
                </c:pt>
                <c:pt idx="6">
                  <c:v>5.6040000000000001</c:v>
                </c:pt>
                <c:pt idx="7">
                  <c:v>9.7759999999999998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D-443F-9CD6-04EF414BEDDD}"/>
            </c:ext>
          </c:extLst>
        </c:ser>
        <c:ser>
          <c:idx val="1"/>
          <c:order val="1"/>
          <c:tx>
            <c:strRef>
              <c:f>'01-Data Lab 4'!$F$13</c:f>
              <c:strCache>
                <c:ptCount val="1"/>
                <c:pt idx="0">
                  <c:v>push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4'!$F$14:$F$21</c:f>
              <c:numCache>
                <c:formatCode>General</c:formatCode>
                <c:ptCount val="8"/>
                <c:pt idx="0">
                  <c:v>4.9000000000000002E-2</c:v>
                </c:pt>
                <c:pt idx="1">
                  <c:v>0.35699999999999998</c:v>
                </c:pt>
                <c:pt idx="2">
                  <c:v>0.745</c:v>
                </c:pt>
                <c:pt idx="3">
                  <c:v>1.92</c:v>
                </c:pt>
                <c:pt idx="4">
                  <c:v>2.82</c:v>
                </c:pt>
                <c:pt idx="5">
                  <c:v>3.6779999999999999</c:v>
                </c:pt>
                <c:pt idx="6">
                  <c:v>11.536</c:v>
                </c:pt>
                <c:pt idx="7">
                  <c:v>6.8710000000000004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D-443F-9CD6-04EF414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4'!$G$2</c:f>
              <c:strCache>
                <c:ptCount val="1"/>
                <c:pt idx="0">
                  <c:v>pop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4'!$G$3:$G$10</c:f>
              <c:numCache>
                <c:formatCode>General</c:formatCode>
                <c:ptCount val="8"/>
                <c:pt idx="0">
                  <c:v>4.3999999999999997E-2</c:v>
                </c:pt>
                <c:pt idx="1">
                  <c:v>0.19800000000000001</c:v>
                </c:pt>
                <c:pt idx="2">
                  <c:v>0.376</c:v>
                </c:pt>
                <c:pt idx="3">
                  <c:v>1.522</c:v>
                </c:pt>
                <c:pt idx="4">
                  <c:v>2.8769999999999998</c:v>
                </c:pt>
                <c:pt idx="5">
                  <c:v>1.575</c:v>
                </c:pt>
                <c:pt idx="6">
                  <c:v>3.1320000000000001</c:v>
                </c:pt>
                <c:pt idx="7">
                  <c:v>5.0339999999999998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B4-42D5-AC23-D7E26B1354F7}"/>
            </c:ext>
          </c:extLst>
        </c:ser>
        <c:ser>
          <c:idx val="1"/>
          <c:order val="1"/>
          <c:tx>
            <c:strRef>
              <c:f>'01-Data Lab 4'!$G$13</c:f>
              <c:strCache>
                <c:ptCount val="1"/>
                <c:pt idx="0">
                  <c:v>pop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4'!$G$14:$G$21</c:f>
              <c:numCache>
                <c:formatCode>General</c:formatCode>
                <c:ptCount val="8"/>
                <c:pt idx="0">
                  <c:v>4.4999999999999998E-2</c:v>
                </c:pt>
                <c:pt idx="1">
                  <c:v>0.49199999999999999</c:v>
                </c:pt>
                <c:pt idx="2">
                  <c:v>0.80800000000000005</c:v>
                </c:pt>
                <c:pt idx="3">
                  <c:v>1.835</c:v>
                </c:pt>
                <c:pt idx="4">
                  <c:v>2.2970000000000002</c:v>
                </c:pt>
                <c:pt idx="5">
                  <c:v>1.474</c:v>
                </c:pt>
                <c:pt idx="6">
                  <c:v>6.7229999999999999</c:v>
                </c:pt>
                <c:pt idx="7">
                  <c:v>7.55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B4-42D5-AC23-D7E26B135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4'!$H$2</c:f>
              <c:strCache>
                <c:ptCount val="1"/>
                <c:pt idx="0">
                  <c:v>top(Array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4'!$H$3:$H$10</c:f>
              <c:numCache>
                <c:formatCode>General</c:formatCode>
                <c:ptCount val="8"/>
                <c:pt idx="0">
                  <c:v>1.7000000000000001E-2</c:v>
                </c:pt>
                <c:pt idx="1">
                  <c:v>6.5000000000000002E-2</c:v>
                </c:pt>
                <c:pt idx="2">
                  <c:v>0.127</c:v>
                </c:pt>
                <c:pt idx="3">
                  <c:v>0.377</c:v>
                </c:pt>
                <c:pt idx="4">
                  <c:v>0.51600000000000001</c:v>
                </c:pt>
                <c:pt idx="5">
                  <c:v>0.46800000000000003</c:v>
                </c:pt>
                <c:pt idx="6">
                  <c:v>1.4279999999999999</c:v>
                </c:pt>
                <c:pt idx="7">
                  <c:v>3.49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22-44F9-B5EB-F480C153262C}"/>
            </c:ext>
          </c:extLst>
        </c:ser>
        <c:ser>
          <c:idx val="1"/>
          <c:order val="1"/>
          <c:tx>
            <c:strRef>
              <c:f>'01-Data Lab 4'!$H$13</c:f>
              <c:strCache>
                <c:ptCount val="1"/>
                <c:pt idx="0">
                  <c:v>top(Linked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4'!$H$14:$H$21</c:f>
              <c:numCache>
                <c:formatCode>General</c:formatCode>
                <c:ptCount val="8"/>
                <c:pt idx="0">
                  <c:v>2.5000000000000001E-2</c:v>
                </c:pt>
                <c:pt idx="1">
                  <c:v>0.17399999999999999</c:v>
                </c:pt>
                <c:pt idx="2">
                  <c:v>0.35299999999999998</c:v>
                </c:pt>
                <c:pt idx="3">
                  <c:v>0.78400000000000003</c:v>
                </c:pt>
                <c:pt idx="4">
                  <c:v>1.2909999999999999</c:v>
                </c:pt>
                <c:pt idx="5">
                  <c:v>3.633</c:v>
                </c:pt>
                <c:pt idx="6">
                  <c:v>2.8679999999999999</c:v>
                </c:pt>
                <c:pt idx="7">
                  <c:v>2.6579999999999999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22-44F9-B5EB-F480C1532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D373F-B89D-476A-916E-D6B8B50B0AC1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2FF808-7ED0-47FB-B864-504F6F16AA8A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6F8E6F-6F0F-4920-8230-CBB34D53C742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ECD7C-0E68-4F70-B3B6-C22C36A0C26A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575C93-C280-48A9-B18D-2C297D43A605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0E80F7-6EA9-429E-B27A-295C9BBA9433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CB43-BF23-44E0-A2C1-1BE0D48E22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A87D5-B644-4CF1-AC85-39B826EC2C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A525E-3430-4CEF-23E8-ECD9066C65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0B28A-DE5E-E347-1DCC-EBC3E818A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11EF7-88B5-6F32-87A6-E5E2CC082D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B05CC-C680-88B2-FEFE-B0E289E2EA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H10" totalsRowShown="0" headerRowDxfId="19" dataDxfId="18">
  <autoFilter ref="A2:H10" xr:uid="{072D0253-75B0-4C0B-8972-D03303899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AF2A2F-BC4B-404E-9B8B-256DA178E68B}" name="Porcentaje de la muestra [pct]" dataDxfId="17"/>
    <tableColumn id="2" xr3:uid="{23CECC62-35E0-466E-9502-4F5CC2E6F7A7}" name="Tamaño de la muestra (ARRAY_LIST)" dataDxfId="16">
      <calculatedColumnFormula>Table1[[#This Row],[Porcentaje de la muestra '[pct']]]*10000</calculatedColumnFormula>
    </tableColumn>
    <tableColumn id="3" xr3:uid="{19B1D273-887B-4392-991E-015D36D99E5B}" name="enqueue (Array List) " dataDxfId="15"/>
    <tableColumn id="4" xr3:uid="{56471E76-DCC6-4EED-8237-BCC256B57E91}" name="dequeue (Array List) " dataDxfId="14"/>
    <tableColumn id="5" xr3:uid="{61DF25D7-A2A3-4D39-B0C6-29804C1B33DB}" name="peek (Array List) " dataDxfId="13"/>
    <tableColumn id="8" xr3:uid="{092BA754-1EE8-42B8-A0C9-8E5FBAFE3FD2}" name="push (Array List)" dataDxfId="12"/>
    <tableColumn id="9" xr3:uid="{F7FD567A-4A42-4CDC-9449-A0BA8E9714D3}" name="pop (Array List)" dataDxfId="11"/>
    <tableColumn id="11" xr3:uid="{91D17C3E-2CFC-4978-91FF-19ADDF3A1CD9}" name="top(Array List) " dataDxfId="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3:H21" totalsRowShown="0" headerRowDxfId="9" dataDxfId="8">
  <autoFilter ref="A13:H21" xr:uid="{5C24B5A8-1B8E-4092-B34A-66FF5413D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6584851-71BC-4FF5-B248-C3F46BA653AF}" name="Porcentaje de la muestra [pct]" dataDxfId="7"/>
    <tableColumn id="2" xr3:uid="{4F9B7329-040C-4D35-96E7-B9181424DC65}" name="Tamaño de la muestra (LINKED_LIST)" dataDxfId="6">
      <calculatedColumnFormula>Table13[[#This Row],[Porcentaje de la muestra '[pct']]]*10000</calculatedColumnFormula>
    </tableColumn>
    <tableColumn id="3" xr3:uid="{BDA028DF-4CED-4928-B040-96AD8F8A43EB}" name="enqueue (Linked List) " dataDxfId="5"/>
    <tableColumn id="4" xr3:uid="{A5E99D51-DD73-48A7-AE0D-601A8EE89AFA}" name="dequeue (Linked List)  " dataDxfId="4"/>
    <tableColumn id="5" xr3:uid="{EE99E4CD-A6F0-492B-B754-38221659D42F}" name="peek (Linked List)  " dataDxfId="3"/>
    <tableColumn id="8" xr3:uid="{D4319BDE-1663-4E02-A459-D4E464B40376}" name="push (Linked List) " dataDxfId="2"/>
    <tableColumn id="9" xr3:uid="{D1102AA4-3669-4976-AB80-8CA1D8EED93A}" name="pop (Linked List) " dataDxfId="1"/>
    <tableColumn id="11" xr3:uid="{A75BD949-6BC0-4683-B105-18DE72DE82D5}" name="top(Linked List) 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H21"/>
  <sheetViews>
    <sheetView tabSelected="1" zoomScale="90" zoomScaleNormal="90" workbookViewId="0">
      <selection activeCell="F14" sqref="F14:H21"/>
    </sheetView>
  </sheetViews>
  <sheetFormatPr baseColWidth="10" defaultColWidth="8.88671875" defaultRowHeight="14.4"/>
  <cols>
    <col min="1" max="1" width="19.109375" style="1" bestFit="1" customWidth="1"/>
    <col min="2" max="2" width="25.5546875" style="1" bestFit="1" customWidth="1"/>
    <col min="3" max="4" width="24.44140625" style="1" customWidth="1"/>
    <col min="5" max="5" width="24.44140625" style="6" customWidth="1"/>
    <col min="6" max="12" width="24.44140625" customWidth="1"/>
  </cols>
  <sheetData>
    <row r="1" spans="1:8" ht="14.25" customHeight="1">
      <c r="C1" s="7" t="s">
        <v>0</v>
      </c>
      <c r="D1" s="7"/>
      <c r="E1" s="7"/>
      <c r="F1" s="8" t="s">
        <v>1</v>
      </c>
      <c r="G1" s="8"/>
      <c r="H1" s="8"/>
    </row>
    <row r="2" spans="1:8" s="5" customFormat="1" ht="27.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 s="5" customFormat="1" ht="13.8">
      <c r="A3" s="2">
        <v>5.0000000000000001E-3</v>
      </c>
      <c r="B3" s="3">
        <f>Table1[[#This Row],[Porcentaje de la muestra '[pct']]]*10000</f>
        <v>50</v>
      </c>
      <c r="C3" s="4">
        <v>7.3999999999999996E-2</v>
      </c>
      <c r="D3" s="4">
        <v>5.0999999999999997E-2</v>
      </c>
      <c r="E3" s="4">
        <v>3.0000000000000001E-3</v>
      </c>
      <c r="F3" s="4">
        <v>7.4999999999999997E-2</v>
      </c>
      <c r="G3" s="4">
        <v>4.3999999999999997E-2</v>
      </c>
      <c r="H3" s="4">
        <v>1.7000000000000001E-2</v>
      </c>
    </row>
    <row r="4" spans="1:8" s="5" customFormat="1" ht="13.8">
      <c r="A4" s="2">
        <v>0.05</v>
      </c>
      <c r="B4" s="3">
        <f>Table1[[#This Row],[Porcentaje de la muestra '[pct']]]*10000</f>
        <v>500</v>
      </c>
      <c r="C4" s="4">
        <v>0.25700000000000001</v>
      </c>
      <c r="D4" s="4">
        <v>0.32800000000000001</v>
      </c>
      <c r="E4" s="4">
        <v>2E-3</v>
      </c>
      <c r="F4" s="4">
        <v>0.35399999999999998</v>
      </c>
      <c r="G4" s="4">
        <v>0.19800000000000001</v>
      </c>
      <c r="H4" s="4">
        <v>6.5000000000000002E-2</v>
      </c>
    </row>
    <row r="5" spans="1:8">
      <c r="A5" s="2">
        <v>0.1</v>
      </c>
      <c r="B5" s="3">
        <f>Table1[[#This Row],[Porcentaje de la muestra '[pct']]]*10000</f>
        <v>1000</v>
      </c>
      <c r="C5" s="4">
        <v>0.38300000000000001</v>
      </c>
      <c r="D5" s="4">
        <v>0.373</v>
      </c>
      <c r="E5" s="4">
        <v>1E-3</v>
      </c>
      <c r="F5" s="4">
        <v>0.47399999999999998</v>
      </c>
      <c r="G5" s="4">
        <v>0.376</v>
      </c>
      <c r="H5" s="4">
        <v>0.127</v>
      </c>
    </row>
    <row r="6" spans="1:8">
      <c r="A6" s="2">
        <v>0.2</v>
      </c>
      <c r="B6" s="3">
        <f>Table1[[#This Row],[Porcentaje de la muestra '[pct']]]*10000</f>
        <v>2000</v>
      </c>
      <c r="C6" s="4">
        <v>1.2310000000000001</v>
      </c>
      <c r="D6" s="4">
        <v>9.6660000000000004</v>
      </c>
      <c r="E6" s="4">
        <v>2E-3</v>
      </c>
      <c r="F6" s="4">
        <v>1.5089999999999999</v>
      </c>
      <c r="G6" s="4">
        <v>1.522</v>
      </c>
      <c r="H6" s="4">
        <v>0.377</v>
      </c>
    </row>
    <row r="7" spans="1:8">
      <c r="A7" s="2">
        <v>0.3</v>
      </c>
      <c r="B7" s="3">
        <f>Table1[[#This Row],[Porcentaje de la muestra '[pct']]]*10000</f>
        <v>3000</v>
      </c>
      <c r="C7" s="4">
        <v>1.8129999999999999</v>
      </c>
      <c r="D7" s="4">
        <v>20.632000000000001</v>
      </c>
      <c r="E7" s="4">
        <v>2E-3</v>
      </c>
      <c r="F7" s="4">
        <v>3.7949999999999999</v>
      </c>
      <c r="G7" s="4">
        <v>2.8769999999999998</v>
      </c>
      <c r="H7" s="4">
        <v>0.51600000000000001</v>
      </c>
    </row>
    <row r="8" spans="1:8">
      <c r="A8" s="2">
        <v>0.5</v>
      </c>
      <c r="B8" s="3">
        <f>Table1[[#This Row],[Porcentaje de la muestra '[pct']]]*10000</f>
        <v>5000</v>
      </c>
      <c r="C8" s="4">
        <v>2.633</v>
      </c>
      <c r="D8" s="4">
        <v>63.511000000000003</v>
      </c>
      <c r="E8" s="4">
        <v>1E-3</v>
      </c>
      <c r="F8" s="4">
        <v>2.21</v>
      </c>
      <c r="G8" s="4">
        <v>1.575</v>
      </c>
      <c r="H8" s="4">
        <v>0.46800000000000003</v>
      </c>
    </row>
    <row r="9" spans="1:8">
      <c r="A9" s="2">
        <v>0.8</v>
      </c>
      <c r="B9" s="3">
        <f>Table1[[#This Row],[Porcentaje de la muestra '[pct']]]*10000</f>
        <v>8000</v>
      </c>
      <c r="C9" s="4">
        <v>3.7080000000000002</v>
      </c>
      <c r="D9" s="4">
        <v>109.78700000000001</v>
      </c>
      <c r="E9" s="4">
        <v>1E-3</v>
      </c>
      <c r="F9" s="4">
        <v>5.6040000000000001</v>
      </c>
      <c r="G9" s="4">
        <v>3.1320000000000001</v>
      </c>
      <c r="H9" s="4">
        <v>1.4279999999999999</v>
      </c>
    </row>
    <row r="10" spans="1:8">
      <c r="A10" s="2">
        <v>1</v>
      </c>
      <c r="B10" s="3">
        <f>Table1[[#This Row],[Porcentaje de la muestra '[pct']]]*10000</f>
        <v>10000</v>
      </c>
      <c r="C10" s="4">
        <v>5.6790000000000003</v>
      </c>
      <c r="D10" s="4">
        <v>119.023</v>
      </c>
      <c r="E10" s="4">
        <v>2E-3</v>
      </c>
      <c r="F10" s="4">
        <v>9.7759999999999998</v>
      </c>
      <c r="G10" s="4">
        <v>5.0339999999999998</v>
      </c>
      <c r="H10" s="4">
        <v>3.49</v>
      </c>
    </row>
    <row r="12" spans="1:8" ht="14.25" customHeight="1">
      <c r="C12" s="7" t="s">
        <v>0</v>
      </c>
      <c r="D12" s="7"/>
      <c r="E12" s="7"/>
      <c r="F12" s="8" t="s">
        <v>1</v>
      </c>
      <c r="G12" s="8"/>
      <c r="H12" s="8"/>
    </row>
    <row r="13" spans="1:8" s="5" customFormat="1" ht="27.6">
      <c r="A13" s="4" t="s">
        <v>2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</row>
    <row r="14" spans="1:8" s="5" customFormat="1" ht="13.8">
      <c r="A14" s="2">
        <v>5.0000000000000001E-3</v>
      </c>
      <c r="B14" s="3">
        <f>Table13[[#This Row],[Porcentaje de la muestra '[pct']]]*10000</f>
        <v>50</v>
      </c>
      <c r="C14" s="4">
        <v>9.1999999999999998E-2</v>
      </c>
      <c r="D14" s="4">
        <v>0.13900000000000001</v>
      </c>
      <c r="E14" s="4">
        <v>1.0999999999999999E-2</v>
      </c>
      <c r="F14" s="4">
        <v>4.9000000000000002E-2</v>
      </c>
      <c r="G14" s="4">
        <v>4.4999999999999998E-2</v>
      </c>
      <c r="H14" s="4">
        <v>2.5000000000000001E-2</v>
      </c>
    </row>
    <row r="15" spans="1:8" s="5" customFormat="1" ht="13.8">
      <c r="A15" s="2">
        <v>0.05</v>
      </c>
      <c r="B15" s="3">
        <f>Table13[[#This Row],[Porcentaje de la muestra '[pct']]]*10000</f>
        <v>500</v>
      </c>
      <c r="C15" s="4">
        <v>0.495</v>
      </c>
      <c r="D15" s="4">
        <v>0.38800000000000001</v>
      </c>
      <c r="E15" s="4">
        <v>5.0000000000000001E-3</v>
      </c>
      <c r="F15" s="4">
        <v>0.35699999999999998</v>
      </c>
      <c r="G15" s="4">
        <v>0.49199999999999999</v>
      </c>
      <c r="H15" s="4">
        <v>0.17399999999999999</v>
      </c>
    </row>
    <row r="16" spans="1:8">
      <c r="A16" s="2">
        <v>0.1</v>
      </c>
      <c r="B16" s="3">
        <f>Table13[[#This Row],[Porcentaje de la muestra '[pct']]]*10000</f>
        <v>1000</v>
      </c>
      <c r="C16" s="4">
        <v>0.84</v>
      </c>
      <c r="D16" s="4">
        <v>0.78500000000000003</v>
      </c>
      <c r="E16" s="4">
        <v>3.0000000000000001E-3</v>
      </c>
      <c r="F16" s="4">
        <v>0.745</v>
      </c>
      <c r="G16" s="4">
        <v>0.80800000000000005</v>
      </c>
      <c r="H16" s="4">
        <v>0.35299999999999998</v>
      </c>
    </row>
    <row r="17" spans="1:8">
      <c r="A17" s="2">
        <v>0.2</v>
      </c>
      <c r="B17" s="3">
        <f>Table13[[#This Row],[Porcentaje de la muestra '[pct']]]*10000</f>
        <v>2000</v>
      </c>
      <c r="C17" s="4">
        <v>2.4159999999999999</v>
      </c>
      <c r="D17" s="4">
        <v>1.7889999999999999</v>
      </c>
      <c r="E17" s="4">
        <v>2E-3</v>
      </c>
      <c r="F17" s="4">
        <v>1.92</v>
      </c>
      <c r="G17" s="4">
        <v>1.835</v>
      </c>
      <c r="H17" s="4">
        <v>0.78400000000000003</v>
      </c>
    </row>
    <row r="18" spans="1:8">
      <c r="A18" s="2">
        <v>0.3</v>
      </c>
      <c r="B18" s="3">
        <f>Table13[[#This Row],[Porcentaje de la muestra '[pct']]]*10000</f>
        <v>3000</v>
      </c>
      <c r="C18" s="4">
        <v>4.6769999999999996</v>
      </c>
      <c r="D18" s="4">
        <v>4.6269999999999998</v>
      </c>
      <c r="E18" s="4">
        <v>4.0000000000000001E-3</v>
      </c>
      <c r="F18" s="4">
        <v>2.82</v>
      </c>
      <c r="G18" s="4">
        <v>2.2970000000000002</v>
      </c>
      <c r="H18" s="4">
        <v>1.2909999999999999</v>
      </c>
    </row>
    <row r="19" spans="1:8">
      <c r="A19" s="2">
        <v>0.5</v>
      </c>
      <c r="B19" s="3">
        <f>Table13[[#This Row],[Porcentaje de la muestra '[pct']]]*10000</f>
        <v>5000</v>
      </c>
      <c r="C19" s="4">
        <v>5.0289999999999999</v>
      </c>
      <c r="D19" s="4">
        <v>3.843</v>
      </c>
      <c r="E19" s="4">
        <v>3.0000000000000001E-3</v>
      </c>
      <c r="F19" s="4">
        <v>3.6779999999999999</v>
      </c>
      <c r="G19" s="4">
        <v>1.474</v>
      </c>
      <c r="H19" s="4">
        <v>3.633</v>
      </c>
    </row>
    <row r="20" spans="1:8">
      <c r="A20" s="2">
        <v>0.8</v>
      </c>
      <c r="B20" s="3">
        <f>Table13[[#This Row],[Porcentaje de la muestra '[pct']]]*10000</f>
        <v>8000</v>
      </c>
      <c r="C20" s="4">
        <v>6.5439999999999996</v>
      </c>
      <c r="D20" s="4">
        <v>5.95</v>
      </c>
      <c r="E20" s="4">
        <v>5.0000000000000001E-3</v>
      </c>
      <c r="F20" s="4">
        <v>11.536</v>
      </c>
      <c r="G20" s="4">
        <v>6.7229999999999999</v>
      </c>
      <c r="H20" s="4">
        <v>2.8679999999999999</v>
      </c>
    </row>
    <row r="21" spans="1:8">
      <c r="A21" s="2">
        <v>1</v>
      </c>
      <c r="B21" s="3">
        <f>Table13[[#This Row],[Porcentaje de la muestra '[pct']]]*10000</f>
        <v>10000</v>
      </c>
      <c r="C21" s="4">
        <v>5.8090000000000002</v>
      </c>
      <c r="D21" s="4">
        <v>5.4260000000000002</v>
      </c>
      <c r="E21" s="4">
        <v>3.0000000000000001E-3</v>
      </c>
      <c r="F21" s="4">
        <v>6.8710000000000004</v>
      </c>
      <c r="G21" s="4">
        <v>7.55</v>
      </c>
      <c r="H21" s="4">
        <v>2.6579999999999999</v>
      </c>
    </row>
  </sheetData>
  <mergeCells count="4">
    <mergeCell ref="C1:E1"/>
    <mergeCell ref="F1:H1"/>
    <mergeCell ref="C12:E12"/>
    <mergeCell ref="F12:H12"/>
  </mergeCells>
  <phoneticPr fontId="6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e30bcc-d76c-4413-8e4d-2dce22fb0743">
      <UserInfo>
        <DisplayName>Carlos Andres Lozano Garzon</DisplayName>
        <AccountId>13</AccountId>
        <AccountType/>
      </UserInfo>
      <UserInfo>
        <DisplayName>Dario Ernesto Correal Torres</DisplayName>
        <AccountId>15</AccountId>
        <AccountType/>
      </UserInfo>
      <UserInfo>
        <DisplayName>Mario  Fernando De la rosa Rosero</DisplayName>
        <AccountId>16</AccountId>
        <AccountType/>
      </UserInfo>
      <UserInfo>
        <DisplayName>Christian Camilo Aparicio Baquen</DisplayName>
        <AccountId>50</AccountId>
        <AccountType/>
      </UserInfo>
      <UserInfo>
        <DisplayName>Arturo Henao Chaparro</DisplayName>
        <AccountId>48</AccountId>
        <AccountType/>
      </UserInfo>
      <UserInfo>
        <DisplayName>Luis Esteban Florez Salamanca</DisplayName>
        <AccountId>33</AccountId>
        <AccountType/>
      </UserInfo>
      <UserInfo>
        <DisplayName>Ivan David Salazar Cardenas</DisplayName>
        <AccountId>52</AccountId>
        <AccountType/>
      </UserInfo>
      <UserInfo>
        <DisplayName>Juan Carlos Marin Morales</DisplayName>
        <AccountId>53</AccountId>
        <AccountType/>
      </UserInfo>
      <UserInfo>
        <DisplayName>Sofia Duque Gomez</DisplayName>
        <AccountId>60</AccountId>
        <AccountType/>
      </UserInfo>
      <UserInfo>
        <DisplayName>Andres Felipe Romero Brand</DisplayName>
        <AccountId>91</AccountId>
        <AccountType/>
      </UserInfo>
      <UserInfo>
        <DisplayName>Lindsay Vanessa Pinto Morato</DisplayName>
        <AccountId>92</AccountId>
        <AccountType/>
      </UserInfo>
      <UserInfo>
        <DisplayName>Miguel Angel Acosta Walteros</DisplayName>
        <AccountId>94</AccountId>
        <AccountType/>
      </UserInfo>
      <UserInfo>
        <DisplayName>Juan David Diaz Ipuz</DisplayName>
        <AccountId>90</AccountId>
        <AccountType/>
      </UserInfo>
      <UserInfo>
        <DisplayName>Lily Aitana valentina Duque Chavez</DisplayName>
        <AccountId>17</AccountId>
        <AccountType/>
      </UserInfo>
      <UserInfo>
        <DisplayName>Isaac David Bermudez Lara</DisplayName>
        <AccountId>95</AccountId>
        <AccountType/>
      </UserInfo>
      <UserInfo>
        <DisplayName>Daniel Alejandro Angel Fuertes</DisplayName>
        <AccountId>55</AccountId>
        <AccountType/>
      </UserInfo>
      <UserInfo>
        <DisplayName>Jeniffer Liliam Mendoza Espinosa</DisplayName>
        <AccountId>97</AccountId>
        <AccountType/>
      </UserInfo>
      <UserInfo>
        <DisplayName>Kevin Cohen Solano</DisplayName>
        <AccountId>93</AccountId>
        <AccountType/>
      </UserInfo>
      <UserInfo>
        <DisplayName>Cesar Luis Moreno Gonzalez</DisplayName>
        <AccountId>96</AccountId>
        <AccountType/>
      </UserInfo>
      <UserInfo>
        <DisplayName>Jose Cristobal Arroyo Castellanos</DisplayName>
        <AccountId>54</AccountId>
        <AccountType/>
      </UserInfo>
    </SharedWithUsers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D72429-8592-4E2D-9A60-DFD77A3B0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C5E1E0-C817-4769-9D2D-1DC296B681FA}">
  <ds:schemaRefs>
    <ds:schemaRef ds:uri="164883f8-7691-4ecf-b54a-664c0d0edefe"/>
    <ds:schemaRef ds:uri="http://www.w3.org/XML/1998/namespace"/>
    <ds:schemaRef ds:uri="http://schemas.microsoft.com/office/2006/metadata/properties"/>
    <ds:schemaRef ds:uri="85e30bcc-d76c-4413-8e4d-2dce22fb0743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6</vt:i4>
      </vt:variant>
    </vt:vector>
  </HeadingPairs>
  <TitlesOfParts>
    <vt:vector size="7" baseType="lpstr">
      <vt:lpstr>01-Data Lab 4</vt:lpstr>
      <vt:lpstr>02-Enqueue</vt:lpstr>
      <vt:lpstr>03-Dequeue</vt:lpstr>
      <vt:lpstr>04-Peek</vt:lpstr>
      <vt:lpstr>05-Push</vt:lpstr>
      <vt:lpstr>06-Pop</vt:lpstr>
      <vt:lpstr>07-Top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Juan Sebastian Rojas Marin</cp:lastModifiedBy>
  <cp:revision/>
  <dcterms:created xsi:type="dcterms:W3CDTF">2021-02-18T03:17:26Z</dcterms:created>
  <dcterms:modified xsi:type="dcterms:W3CDTF">2026-09-06T23:10:07Z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